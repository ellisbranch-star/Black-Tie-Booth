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Cost Per Experience" sheetId="2" state="visible" r:id="rId2"/>
    <sheet name="Tier 1 Profitability" sheetId="3" state="visible" r:id="rId3"/>
    <sheet name="Tier 2 Profitability" sheetId="4" state="visible" r:id="rId4"/>
    <sheet name="Breakeven &amp; Sensitivity" sheetId="5" state="visible" r:id="rId5"/>
    <sheet name="Comparison to One-Off Corporate" sheetId="6" state="visible" r:id="rId6"/>
    <sheet name="Recommended Tier 1 (Annual)" sheetId="7" state="visible" r:id="rId7"/>
    <sheet name="Recommended Tier 2 (Annual)" sheetId="8" state="visible" r:id="rId8"/>
    <sheet name="Recommended vs Original" sheetId="9" state="visible" r:id="rId9"/>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0.0%);&quot;-&quot;"/>
  </numFmts>
  <fonts count="10">
    <font>
      <name val="Calibri"/>
      <family val="2"/>
      <color theme="1"/>
      <sz val="11"/>
      <scheme val="minor"/>
    </font>
    <font>
      <name val="Arial"/>
      <b val="1"/>
      <color rgb="001F1F1F"/>
      <sz val="14"/>
    </font>
    <font>
      <name val="Arial"/>
      <i val="1"/>
      <color rgb="00595959"/>
      <sz val="9"/>
    </font>
    <font>
      <name val="Arial"/>
      <b val="1"/>
      <color rgb="00FFFFFF"/>
      <sz val="11"/>
    </font>
    <font>
      <name val="Arial"/>
      <color rgb="00000000"/>
    </font>
    <font>
      <name val="Arial"/>
      <b val="1"/>
      <color rgb="000000FF"/>
    </font>
    <font>
      <name val="Arial"/>
      <color rgb="000000FF"/>
    </font>
    <font>
      <name val="Arial"/>
      <b val="1"/>
      <color rgb="00000000"/>
    </font>
    <font>
      <name val="Arial"/>
      <b val="1"/>
      <color rgb="00FFFFFF"/>
    </font>
    <font>
      <name val="Arial"/>
      <color rgb="00008000"/>
    </font>
  </fonts>
  <fills count="4">
    <fill>
      <patternFill/>
    </fill>
    <fill>
      <patternFill patternType="gray125"/>
    </fill>
    <fill>
      <patternFill patternType="solid">
        <fgColor rgb="002F5233"/>
        <bgColor rgb="002F5233"/>
      </patternFill>
    </fill>
    <fill>
      <patternFill patternType="solid">
        <fgColor rgb="00FFFF00"/>
        <bgColor rgb="00FFFF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0" pivotButton="0" quotePrefix="0" xfId="0"/>
    <xf numFmtId="164" fontId="5" fillId="3" borderId="1" pivotButton="0" quotePrefix="0" xfId="0"/>
    <xf numFmtId="165" fontId="5" fillId="3" borderId="1" pivotButton="0" quotePrefix="0" xfId="0"/>
    <xf numFmtId="166" fontId="5" fillId="3" borderId="1" pivotButton="0" quotePrefix="0" xfId="0"/>
    <xf numFmtId="0" fontId="4" fillId="0" borderId="1" pivotButton="0" quotePrefix="0" xfId="0"/>
    <xf numFmtId="164" fontId="6" fillId="0" borderId="1" pivotButton="0" quotePrefix="0" xfId="0"/>
    <xf numFmtId="0" fontId="6" fillId="0" borderId="1" applyAlignment="1" pivotButton="0" quotePrefix="0" xfId="0">
      <alignment horizontal="center"/>
    </xf>
    <xf numFmtId="165" fontId="4" fillId="0" borderId="1" pivotButton="0" quotePrefix="0" xfId="0"/>
    <xf numFmtId="164" fontId="4" fillId="0" borderId="1" pivotButton="0" quotePrefix="0" xfId="0"/>
    <xf numFmtId="164" fontId="7" fillId="0" borderId="1" pivotButton="0" quotePrefix="0" xfId="0"/>
    <xf numFmtId="166" fontId="4" fillId="0" borderId="1" pivotButton="0" quotePrefix="0" xfId="0"/>
    <xf numFmtId="0" fontId="7" fillId="0" borderId="0" pivotButton="0" quotePrefix="0" xfId="0"/>
    <xf numFmtId="0" fontId="4" fillId="0" borderId="1" applyAlignment="1" pivotButton="0" quotePrefix="0" xfId="0">
      <alignment wrapText="1"/>
    </xf>
    <xf numFmtId="0" fontId="3" fillId="2" borderId="1" pivotButton="0" quotePrefix="0" xfId="0"/>
    <xf numFmtId="9" fontId="8" fillId="2" borderId="1" applyAlignment="1" pivotButton="0" quotePrefix="0" xfId="0">
      <alignment horizontal="center"/>
    </xf>
    <xf numFmtId="1" fontId="5" fillId="3" borderId="1" pivotButton="0" quotePrefix="0" xfId="0"/>
    <xf numFmtId="164" fontId="9" fillId="0" borderId="1" pivotButton="0" quotePrefix="0" xfId="0"/>
    <xf numFmtId="1" fontId="9" fillId="0" borderId="1" pivotButton="0" quotePrefix="0" xfId="0"/>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46" customWidth="1" min="1" max="1"/>
    <col width="12" customWidth="1" min="2" max="2"/>
    <col width="60" customWidth="1" min="3" max="3"/>
  </cols>
  <sheetData>
    <row r="1">
      <c r="A1" s="1" t="inlineStr">
        <is>
          <t>Corporate Membership — Cost Assumptions</t>
        </is>
      </c>
    </row>
    <row r="2">
      <c r="A2" s="2" t="inlineStr">
        <is>
          <t>Edit the yellow cells with your real costs. Every other tab calculates off these — nothing downstream is hardcoded.</t>
        </is>
      </c>
    </row>
    <row r="4">
      <c r="A4" s="3" t="inlineStr">
        <is>
          <t>Assumption</t>
        </is>
      </c>
      <c r="B4" s="3" t="inlineStr">
        <is>
          <t>Value</t>
        </is>
      </c>
      <c r="C4" s="3" t="inlineStr">
        <is>
          <t>Notes</t>
        </is>
      </c>
    </row>
    <row r="5">
      <c r="A5" s="4" t="inlineStr">
        <is>
          <t>Attendant loaded labor rate ($/hr)</t>
        </is>
      </c>
      <c r="B5" s="5" t="n">
        <v>30</v>
      </c>
      <c r="C5" s="2" t="inlineStr">
        <is>
          <t>Fully loaded incl. payroll tax/benefits. Source: placeholder — replace with your real rate.</t>
        </is>
      </c>
    </row>
    <row r="6">
      <c r="A6" s="4" t="inlineStr">
        <is>
          <t>Avg on-site hours — attended activation</t>
        </is>
      </c>
      <c r="B6" s="6" t="n">
        <v>5</v>
      </c>
      <c r="C6" s="2" t="inlineStr">
        <is>
          <t>Setup + event + breakdown + travel buffer for a staffed experience.</t>
        </is>
      </c>
    </row>
    <row r="7">
      <c r="A7" s="4" t="inlineStr">
        <is>
          <t>Avg on-site hours — non-attended / drop-off / Video Wall</t>
        </is>
      </c>
      <c r="B7" s="6" t="n">
        <v>2.5</v>
      </c>
      <c r="C7" s="2" t="inlineStr">
        <is>
          <t>Delivery, setup, and pickup only — no attendant during the event.</t>
        </is>
      </c>
    </row>
    <row r="8">
      <c r="A8" s="4" t="inlineStr">
        <is>
          <t>Flat travel/mileage cost per activation</t>
        </is>
      </c>
      <c r="B8" s="5" t="n">
        <v>40</v>
      </c>
      <c r="C8" s="2" t="inlineStr">
        <is>
          <t>Per site visit. Placeholder — replace with your real avg. mileage cost for Atlanta metro.</t>
        </is>
      </c>
    </row>
    <row r="9">
      <c r="A9" s="4" t="inlineStr">
        <is>
          <t>Equipment wear &amp; amortization per activation</t>
        </is>
      </c>
      <c r="B9" s="5" t="n">
        <v>35</v>
      </c>
      <c r="C9" s="2" t="inlineStr">
        <is>
          <t>Placeholder allocation for equipment depreciation/repair per use.</t>
        </is>
      </c>
    </row>
    <row r="10">
      <c r="A10" s="4" t="inlineStr">
        <is>
          <t>Insurance &amp; overhead allocation per activation</t>
        </is>
      </c>
      <c r="B10" s="5" t="n">
        <v>20</v>
      </c>
      <c r="C10" s="2" t="inlineStr">
        <is>
          <t>Placeholder — allocate your liability insurance + general overhead per booking.</t>
        </is>
      </c>
    </row>
    <row r="11">
      <c r="A11" s="4" t="inlineStr">
        <is>
          <t>Utilization rate (% of paying members who activate in a given month)</t>
        </is>
      </c>
      <c r="B11" s="7" t="n">
        <v>0.7</v>
      </c>
      <c r="C11" s="2" t="inlineStr">
        <is>
          <t>Key lever: membership only costs you money in months the member actually uses it.</t>
        </is>
      </c>
    </row>
    <row r="13">
      <c r="A13" s="15" t="inlineStr">
        <is>
          <t>Recommended Structure — Annual Usage Caps</t>
        </is>
      </c>
    </row>
    <row r="14">
      <c r="A14" s="3" t="inlineStr">
        <is>
          <t>Assumption</t>
        </is>
      </c>
      <c r="B14" s="3" t="inlineStr">
        <is>
          <t>Value</t>
        </is>
      </c>
      <c r="C14" s="3" t="inlineStr">
        <is>
          <t>Notes</t>
        </is>
      </c>
    </row>
    <row r="15">
      <c r="A15" s="4" t="inlineStr">
        <is>
          <t>Tier 1 — activations per year (quarterly cap)</t>
        </is>
      </c>
      <c r="B15" s="19" t="n">
        <v>4</v>
      </c>
      <c r="C15" s="2" t="inlineStr">
        <is>
          <t>Recommended: cap at 1 per quarter instead of 1 per month.</t>
        </is>
      </c>
    </row>
    <row r="16">
      <c r="A16" s="4" t="inlineStr">
        <is>
          <t>Tier 2 — activations per year (annual cap)</t>
        </is>
      </c>
      <c r="B16" s="19" t="n">
        <v>1</v>
      </c>
      <c r="C16" s="2" t="inlineStr">
        <is>
          <t>Recommended: cap at 1 full multi-experience build-out per year. Additional build-outs billed separately (see Recommended Tier 2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26" customWidth="1" min="1" max="1"/>
    <col width="11" customWidth="1" min="2" max="2"/>
    <col width="15" customWidth="1" min="3" max="3"/>
    <col width="11" customWidth="1" min="4" max="4"/>
    <col width="12" customWidth="1" min="5" max="5"/>
    <col width="15" customWidth="1" min="6" max="6"/>
    <col width="12" customWidth="1" min="7" max="7"/>
    <col width="11" customWidth="1" min="8" max="8"/>
    <col width="13" customWidth="1" min="9" max="9"/>
    <col width="15" customWidth="1" min="10" max="10"/>
    <col width="15" customWidth="1" min="11" max="11"/>
    <col width="16" customWidth="1" min="12" max="12"/>
    <col width="10" customWidth="1" min="13" max="13"/>
  </cols>
  <sheetData>
    <row r="1">
      <c r="A1" s="1" t="inlineStr">
        <is>
          <t>Estimated Variable Cost Per Activation, By Experience</t>
        </is>
      </c>
    </row>
    <row r="2">
      <c r="A2" s="2" t="inlineStr">
        <is>
          <t>Total Variable Cost and Cost Excl. Travel are formulas pulling from the Assumptions tab. Non-attended rows are grouped at the bottom (rows 15-20) so the Tier 2 tab can reference them as a contiguous range.</t>
        </is>
      </c>
    </row>
    <row r="4">
      <c r="A4" s="3" t="inlineStr">
        <is>
          <t>Experience</t>
        </is>
      </c>
      <c r="B4" s="3" t="inlineStr">
        <is>
          <t>Tier</t>
        </is>
      </c>
      <c r="C4" s="3" t="inlineStr">
        <is>
          <t>A La Carte Price</t>
        </is>
      </c>
      <c r="D4" s="3" t="inlineStr">
        <is>
          <t>Attended?</t>
        </is>
      </c>
      <c r="E4" s="3" t="inlineStr">
        <is>
          <t>On-Site Hours</t>
        </is>
      </c>
      <c r="F4" s="3" t="inlineStr">
        <is>
          <t>Attendant Labor Cost</t>
        </is>
      </c>
      <c r="G4" s="3" t="inlineStr">
        <is>
          <t>Travel Cost</t>
        </is>
      </c>
      <c r="H4" s="3" t="inlineStr">
        <is>
          <t>Wear Cost</t>
        </is>
      </c>
      <c r="I4" s="3" t="inlineStr">
        <is>
          <t>Overhead Cost</t>
        </is>
      </c>
      <c r="J4" s="3" t="inlineStr">
        <is>
          <t>Total Variable Cost</t>
        </is>
      </c>
      <c r="K4" s="3" t="inlineStr">
        <is>
          <t>Cost Excl. Travel</t>
        </is>
      </c>
      <c r="L4" s="3" t="inlineStr">
        <is>
          <t>Margin $ (vs a la carte)</t>
        </is>
      </c>
      <c r="M4" s="3" t="inlineStr">
        <is>
          <t>Margin %</t>
        </is>
      </c>
    </row>
    <row r="5">
      <c r="A5" s="8" t="inlineStr">
        <is>
          <t>Vintage Photo Booth</t>
        </is>
      </c>
      <c r="B5" s="8" t="inlineStr">
        <is>
          <t>Essential</t>
        </is>
      </c>
      <c r="C5" s="9" t="n">
        <v>750</v>
      </c>
      <c r="D5" s="10" t="inlineStr">
        <is>
          <t>Y</t>
        </is>
      </c>
      <c r="E5" s="11">
        <f>IF(D5="Y",Assumptions!$B$6,Assumptions!$B$7)</f>
        <v/>
      </c>
      <c r="F5" s="12">
        <f>E5*Assumptions!$B$5</f>
        <v/>
      </c>
      <c r="G5" s="12">
        <f>Assumptions!$B$8</f>
        <v/>
      </c>
      <c r="H5" s="12">
        <f>Assumptions!$B$9</f>
        <v/>
      </c>
      <c r="I5" s="12">
        <f>Assumptions!$B$10</f>
        <v/>
      </c>
      <c r="J5" s="13">
        <f>F5+G5+H5+I5</f>
        <v/>
      </c>
      <c r="K5" s="12">
        <f>F5+H5+I5</f>
        <v/>
      </c>
      <c r="L5" s="12">
        <f>C5-J5</f>
        <v/>
      </c>
      <c r="M5" s="14">
        <f>L5/C5</f>
        <v/>
      </c>
    </row>
    <row r="6">
      <c r="A6" s="8" t="inlineStr">
        <is>
          <t>Vintage Photo Booth</t>
        </is>
      </c>
      <c r="B6" s="8" t="inlineStr">
        <is>
          <t>Signature</t>
        </is>
      </c>
      <c r="C6" s="9" t="n">
        <v>850</v>
      </c>
      <c r="D6" s="10" t="inlineStr">
        <is>
          <t>Y</t>
        </is>
      </c>
      <c r="E6" s="11">
        <f>IF(D6="Y",Assumptions!$B$6,Assumptions!$B$7)</f>
        <v/>
      </c>
      <c r="F6" s="12">
        <f>E6*Assumptions!$B$5</f>
        <v/>
      </c>
      <c r="G6" s="12">
        <f>Assumptions!$B$8</f>
        <v/>
      </c>
      <c r="H6" s="12">
        <f>Assumptions!$B$9</f>
        <v/>
      </c>
      <c r="I6" s="12">
        <f>Assumptions!$B$10</f>
        <v/>
      </c>
      <c r="J6" s="13">
        <f>F6+G6+H6+I6</f>
        <v/>
      </c>
      <c r="K6" s="12">
        <f>F6+H6+I6</f>
        <v/>
      </c>
      <c r="L6" s="12">
        <f>C6-J6</f>
        <v/>
      </c>
      <c r="M6" s="14">
        <f>L6/C6</f>
        <v/>
      </c>
    </row>
    <row r="7">
      <c r="A7" s="8" t="inlineStr">
        <is>
          <t>Vintage Photo Booth</t>
        </is>
      </c>
      <c r="B7" s="8" t="inlineStr">
        <is>
          <t>Black Tie</t>
        </is>
      </c>
      <c r="C7" s="9" t="n">
        <v>950</v>
      </c>
      <c r="D7" s="10" t="inlineStr">
        <is>
          <t>Y</t>
        </is>
      </c>
      <c r="E7" s="11">
        <f>IF(D7="Y",Assumptions!$B$6,Assumptions!$B$7)</f>
        <v/>
      </c>
      <c r="F7" s="12">
        <f>E7*Assumptions!$B$5</f>
        <v/>
      </c>
      <c r="G7" s="12">
        <f>Assumptions!$B$8</f>
        <v/>
      </c>
      <c r="H7" s="12">
        <f>Assumptions!$B$9</f>
        <v/>
      </c>
      <c r="I7" s="12">
        <f>Assumptions!$B$10</f>
        <v/>
      </c>
      <c r="J7" s="13">
        <f>F7+G7+H7+I7</f>
        <v/>
      </c>
      <c r="K7" s="12">
        <f>F7+H7+I7</f>
        <v/>
      </c>
      <c r="L7" s="12">
        <f>C7-J7</f>
        <v/>
      </c>
      <c r="M7" s="14">
        <f>L7/C7</f>
        <v/>
      </c>
    </row>
    <row r="8">
      <c r="A8" s="8" t="inlineStr">
        <is>
          <t>Mirror Booth</t>
        </is>
      </c>
      <c r="B8" s="8" t="inlineStr">
        <is>
          <t>Essential</t>
        </is>
      </c>
      <c r="C8" s="9" t="n">
        <v>750</v>
      </c>
      <c r="D8" s="10" t="inlineStr">
        <is>
          <t>Y</t>
        </is>
      </c>
      <c r="E8" s="11">
        <f>IF(D8="Y",Assumptions!$B$6,Assumptions!$B$7)</f>
        <v/>
      </c>
      <c r="F8" s="12">
        <f>E8*Assumptions!$B$5</f>
        <v/>
      </c>
      <c r="G8" s="12">
        <f>Assumptions!$B$8</f>
        <v/>
      </c>
      <c r="H8" s="12">
        <f>Assumptions!$B$9</f>
        <v/>
      </c>
      <c r="I8" s="12">
        <f>Assumptions!$B$10</f>
        <v/>
      </c>
      <c r="J8" s="13">
        <f>F8+G8+H8+I8</f>
        <v/>
      </c>
      <c r="K8" s="12">
        <f>F8+H8+I8</f>
        <v/>
      </c>
      <c r="L8" s="12">
        <f>C8-J8</f>
        <v/>
      </c>
      <c r="M8" s="14">
        <f>L8/C8</f>
        <v/>
      </c>
    </row>
    <row r="9">
      <c r="A9" s="8" t="inlineStr">
        <is>
          <t>Mirror Booth</t>
        </is>
      </c>
      <c r="B9" s="8" t="inlineStr">
        <is>
          <t>Signature</t>
        </is>
      </c>
      <c r="C9" s="9" t="n">
        <v>850</v>
      </c>
      <c r="D9" s="10" t="inlineStr">
        <is>
          <t>Y</t>
        </is>
      </c>
      <c r="E9" s="11">
        <f>IF(D9="Y",Assumptions!$B$6,Assumptions!$B$7)</f>
        <v/>
      </c>
      <c r="F9" s="12">
        <f>E9*Assumptions!$B$5</f>
        <v/>
      </c>
      <c r="G9" s="12">
        <f>Assumptions!$B$8</f>
        <v/>
      </c>
      <c r="H9" s="12">
        <f>Assumptions!$B$9</f>
        <v/>
      </c>
      <c r="I9" s="12">
        <f>Assumptions!$B$10</f>
        <v/>
      </c>
      <c r="J9" s="13">
        <f>F9+G9+H9+I9</f>
        <v/>
      </c>
      <c r="K9" s="12">
        <f>F9+H9+I9</f>
        <v/>
      </c>
      <c r="L9" s="12">
        <f>C9-J9</f>
        <v/>
      </c>
      <c r="M9" s="14">
        <f>L9/C9</f>
        <v/>
      </c>
    </row>
    <row r="10">
      <c r="A10" s="8" t="inlineStr">
        <is>
          <t>Mirror Booth</t>
        </is>
      </c>
      <c r="B10" s="8" t="inlineStr">
        <is>
          <t>Black Tie</t>
        </is>
      </c>
      <c r="C10" s="9" t="n">
        <v>950</v>
      </c>
      <c r="D10" s="10" t="inlineStr">
        <is>
          <t>Y</t>
        </is>
      </c>
      <c r="E10" s="11">
        <f>IF(D10="Y",Assumptions!$B$6,Assumptions!$B$7)</f>
        <v/>
      </c>
      <c r="F10" s="12">
        <f>E10*Assumptions!$B$5</f>
        <v/>
      </c>
      <c r="G10" s="12">
        <f>Assumptions!$B$8</f>
        <v/>
      </c>
      <c r="H10" s="12">
        <f>Assumptions!$B$9</f>
        <v/>
      </c>
      <c r="I10" s="12">
        <f>Assumptions!$B$10</f>
        <v/>
      </c>
      <c r="J10" s="13">
        <f>F10+G10+H10+I10</f>
        <v/>
      </c>
      <c r="K10" s="12">
        <f>F10+H10+I10</f>
        <v/>
      </c>
      <c r="L10" s="12">
        <f>C10-J10</f>
        <v/>
      </c>
      <c r="M10" s="14">
        <f>L10/C10</f>
        <v/>
      </c>
    </row>
    <row r="11">
      <c r="A11" s="8" t="inlineStr">
        <is>
          <t>British Phone Booth</t>
        </is>
      </c>
      <c r="B11" s="8" t="inlineStr">
        <is>
          <t>Signature</t>
        </is>
      </c>
      <c r="C11" s="9" t="n">
        <v>950</v>
      </c>
      <c r="D11" s="10" t="inlineStr">
        <is>
          <t>Y</t>
        </is>
      </c>
      <c r="E11" s="11">
        <f>IF(D11="Y",Assumptions!$B$6,Assumptions!$B$7)</f>
        <v/>
      </c>
      <c r="F11" s="12">
        <f>E11*Assumptions!$B$5</f>
        <v/>
      </c>
      <c r="G11" s="12">
        <f>Assumptions!$B$8</f>
        <v/>
      </c>
      <c r="H11" s="12">
        <f>Assumptions!$B$9</f>
        <v/>
      </c>
      <c r="I11" s="12">
        <f>Assumptions!$B$10</f>
        <v/>
      </c>
      <c r="J11" s="13">
        <f>F11+G11+H11+I11</f>
        <v/>
      </c>
      <c r="K11" s="12">
        <f>F11+H11+I11</f>
        <v/>
      </c>
      <c r="L11" s="12">
        <f>C11-J11</f>
        <v/>
      </c>
      <c r="M11" s="14">
        <f>L11/C11</f>
        <v/>
      </c>
    </row>
    <row r="12">
      <c r="A12" s="8" t="inlineStr">
        <is>
          <t>British Phone Booth</t>
        </is>
      </c>
      <c r="B12" s="8" t="inlineStr">
        <is>
          <t>Black Tie</t>
        </is>
      </c>
      <c r="C12" s="9" t="n">
        <v>1150</v>
      </c>
      <c r="D12" s="10" t="inlineStr">
        <is>
          <t>Y</t>
        </is>
      </c>
      <c r="E12" s="11">
        <f>IF(D12="Y",Assumptions!$B$6,Assumptions!$B$7)</f>
        <v/>
      </c>
      <c r="F12" s="12">
        <f>E12*Assumptions!$B$5</f>
        <v/>
      </c>
      <c r="G12" s="12">
        <f>Assumptions!$B$8</f>
        <v/>
      </c>
      <c r="H12" s="12">
        <f>Assumptions!$B$9</f>
        <v/>
      </c>
      <c r="I12" s="12">
        <f>Assumptions!$B$10</f>
        <v/>
      </c>
      <c r="J12" s="13">
        <f>F12+G12+H12+I12</f>
        <v/>
      </c>
      <c r="K12" s="12">
        <f>F12+H12+I12</f>
        <v/>
      </c>
      <c r="L12" s="12">
        <f>C12-J12</f>
        <v/>
      </c>
      <c r="M12" s="14">
        <f>L12/C12</f>
        <v/>
      </c>
    </row>
    <row r="13">
      <c r="A13" s="8" t="inlineStr">
        <is>
          <t>360 Video Booth</t>
        </is>
      </c>
      <c r="B13" s="8" t="inlineStr">
        <is>
          <t>Essential</t>
        </is>
      </c>
      <c r="C13" s="9" t="n">
        <v>950</v>
      </c>
      <c r="D13" s="10" t="inlineStr">
        <is>
          <t>Y</t>
        </is>
      </c>
      <c r="E13" s="11">
        <f>IF(D13="Y",Assumptions!$B$6,Assumptions!$B$7)</f>
        <v/>
      </c>
      <c r="F13" s="12">
        <f>E13*Assumptions!$B$5</f>
        <v/>
      </c>
      <c r="G13" s="12">
        <f>Assumptions!$B$8</f>
        <v/>
      </c>
      <c r="H13" s="12">
        <f>Assumptions!$B$9</f>
        <v/>
      </c>
      <c r="I13" s="12">
        <f>Assumptions!$B$10</f>
        <v/>
      </c>
      <c r="J13" s="13">
        <f>F13+G13+H13+I13</f>
        <v/>
      </c>
      <c r="K13" s="12">
        <f>F13+H13+I13</f>
        <v/>
      </c>
      <c r="L13" s="12">
        <f>C13-J13</f>
        <v/>
      </c>
      <c r="M13" s="14">
        <f>L13/C13</f>
        <v/>
      </c>
    </row>
    <row r="14">
      <c r="A14" s="8" t="inlineStr">
        <is>
          <t>360 Video Booth</t>
        </is>
      </c>
      <c r="B14" s="8" t="inlineStr">
        <is>
          <t>Signature</t>
        </is>
      </c>
      <c r="C14" s="9" t="n">
        <v>1150</v>
      </c>
      <c r="D14" s="10" t="inlineStr">
        <is>
          <t>Y</t>
        </is>
      </c>
      <c r="E14" s="11">
        <f>IF(D14="Y",Assumptions!$B$6,Assumptions!$B$7)</f>
        <v/>
      </c>
      <c r="F14" s="12">
        <f>E14*Assumptions!$B$5</f>
        <v/>
      </c>
      <c r="G14" s="12">
        <f>Assumptions!$B$8</f>
        <v/>
      </c>
      <c r="H14" s="12">
        <f>Assumptions!$B$9</f>
        <v/>
      </c>
      <c r="I14" s="12">
        <f>Assumptions!$B$10</f>
        <v/>
      </c>
      <c r="J14" s="13">
        <f>F14+G14+H14+I14</f>
        <v/>
      </c>
      <c r="K14" s="12">
        <f>F14+H14+I14</f>
        <v/>
      </c>
      <c r="L14" s="12">
        <f>C14-J14</f>
        <v/>
      </c>
      <c r="M14" s="14">
        <f>L14/C14</f>
        <v/>
      </c>
    </row>
    <row r="15">
      <c r="A15" s="8" t="inlineStr">
        <is>
          <t>360 Video Booth</t>
        </is>
      </c>
      <c r="B15" s="8" t="inlineStr">
        <is>
          <t>Black Tie</t>
        </is>
      </c>
      <c r="C15" s="9" t="n">
        <v>1350</v>
      </c>
      <c r="D15" s="10" t="inlineStr">
        <is>
          <t>Y</t>
        </is>
      </c>
      <c r="E15" s="11">
        <f>IF(D15="Y",Assumptions!$B$6,Assumptions!$B$7)</f>
        <v/>
      </c>
      <c r="F15" s="12">
        <f>E15*Assumptions!$B$5</f>
        <v/>
      </c>
      <c r="G15" s="12">
        <f>Assumptions!$B$8</f>
        <v/>
      </c>
      <c r="H15" s="12">
        <f>Assumptions!$B$9</f>
        <v/>
      </c>
      <c r="I15" s="12">
        <f>Assumptions!$B$10</f>
        <v/>
      </c>
      <c r="J15" s="13">
        <f>F15+G15+H15+I15</f>
        <v/>
      </c>
      <c r="K15" s="12">
        <f>F15+H15+I15</f>
        <v/>
      </c>
      <c r="L15" s="12">
        <f>C15-J15</f>
        <v/>
      </c>
      <c r="M15" s="14">
        <f>L15/C15</f>
        <v/>
      </c>
    </row>
    <row r="16">
      <c r="A16" s="8" t="inlineStr">
        <is>
          <t>Classic Photo Booth (Drop-Off)</t>
        </is>
      </c>
      <c r="B16" s="8" t="inlineStr">
        <is>
          <t>Essential</t>
        </is>
      </c>
      <c r="C16" s="9" t="n">
        <v>499</v>
      </c>
      <c r="D16" s="10" t="inlineStr">
        <is>
          <t>N</t>
        </is>
      </c>
      <c r="E16" s="11">
        <f>IF(D16="Y",Assumptions!$B$6,Assumptions!$B$7)</f>
        <v/>
      </c>
      <c r="F16" s="12">
        <f>E16*Assumptions!$B$5</f>
        <v/>
      </c>
      <c r="G16" s="12">
        <f>Assumptions!$B$8</f>
        <v/>
      </c>
      <c r="H16" s="12">
        <f>Assumptions!$B$9</f>
        <v/>
      </c>
      <c r="I16" s="12">
        <f>Assumptions!$B$10</f>
        <v/>
      </c>
      <c r="J16" s="13">
        <f>F16+G16+H16+I16</f>
        <v/>
      </c>
      <c r="K16" s="12">
        <f>F16+H16+I16</f>
        <v/>
      </c>
      <c r="L16" s="12">
        <f>C16-J16</f>
        <v/>
      </c>
      <c r="M16" s="14">
        <f>L16/C16</f>
        <v/>
      </c>
    </row>
    <row r="17">
      <c r="A17" s="8" t="inlineStr">
        <is>
          <t>Classic Photo Booth (Drop-Off)</t>
        </is>
      </c>
      <c r="B17" s="8" t="inlineStr">
        <is>
          <t>Signature</t>
        </is>
      </c>
      <c r="C17" s="9" t="n">
        <v>549</v>
      </c>
      <c r="D17" s="10" t="inlineStr">
        <is>
          <t>N</t>
        </is>
      </c>
      <c r="E17" s="11">
        <f>IF(D17="Y",Assumptions!$B$6,Assumptions!$B$7)</f>
        <v/>
      </c>
      <c r="F17" s="12">
        <f>E17*Assumptions!$B$5</f>
        <v/>
      </c>
      <c r="G17" s="12">
        <f>Assumptions!$B$8</f>
        <v/>
      </c>
      <c r="H17" s="12">
        <f>Assumptions!$B$9</f>
        <v/>
      </c>
      <c r="I17" s="12">
        <f>Assumptions!$B$10</f>
        <v/>
      </c>
      <c r="J17" s="13">
        <f>F17+G17+H17+I17</f>
        <v/>
      </c>
      <c r="K17" s="12">
        <f>F17+H17+I17</f>
        <v/>
      </c>
      <c r="L17" s="12">
        <f>C17-J17</f>
        <v/>
      </c>
      <c r="M17" s="14">
        <f>L17/C17</f>
        <v/>
      </c>
    </row>
    <row r="18">
      <c r="A18" s="8" t="inlineStr">
        <is>
          <t>Classic Photo Booth (Drop-Off)</t>
        </is>
      </c>
      <c r="B18" s="8" t="inlineStr">
        <is>
          <t>Black Tie</t>
        </is>
      </c>
      <c r="C18" s="9" t="n">
        <v>749</v>
      </c>
      <c r="D18" s="10" t="inlineStr">
        <is>
          <t>N</t>
        </is>
      </c>
      <c r="E18" s="11">
        <f>IF(D18="Y",Assumptions!$B$6,Assumptions!$B$7)</f>
        <v/>
      </c>
      <c r="F18" s="12">
        <f>E18*Assumptions!$B$5</f>
        <v/>
      </c>
      <c r="G18" s="12">
        <f>Assumptions!$B$8</f>
        <v/>
      </c>
      <c r="H18" s="12">
        <f>Assumptions!$B$9</f>
        <v/>
      </c>
      <c r="I18" s="12">
        <f>Assumptions!$B$10</f>
        <v/>
      </c>
      <c r="J18" s="13">
        <f>F18+G18+H18+I18</f>
        <v/>
      </c>
      <c r="K18" s="12">
        <f>F18+H18+I18</f>
        <v/>
      </c>
      <c r="L18" s="12">
        <f>C18-J18</f>
        <v/>
      </c>
      <c r="M18" s="14">
        <f>L18/C18</f>
        <v/>
      </c>
    </row>
    <row r="19">
      <c r="A19" s="8" t="inlineStr">
        <is>
          <t>British Phone Booth</t>
        </is>
      </c>
      <c r="B19" s="8" t="inlineStr">
        <is>
          <t>Essential</t>
        </is>
      </c>
      <c r="C19" s="9" t="n">
        <v>699</v>
      </c>
      <c r="D19" s="10" t="inlineStr">
        <is>
          <t>N</t>
        </is>
      </c>
      <c r="E19" s="11">
        <f>IF(D19="Y",Assumptions!$B$6,Assumptions!$B$7)</f>
        <v/>
      </c>
      <c r="F19" s="12">
        <f>E19*Assumptions!$B$5</f>
        <v/>
      </c>
      <c r="G19" s="12">
        <f>Assumptions!$B$8</f>
        <v/>
      </c>
      <c r="H19" s="12">
        <f>Assumptions!$B$9</f>
        <v/>
      </c>
      <c r="I19" s="12">
        <f>Assumptions!$B$10</f>
        <v/>
      </c>
      <c r="J19" s="13">
        <f>F19+G19+H19+I19</f>
        <v/>
      </c>
      <c r="K19" s="12">
        <f>F19+H19+I19</f>
        <v/>
      </c>
      <c r="L19" s="12">
        <f>C19-J19</f>
        <v/>
      </c>
      <c r="M19" s="14">
        <f>L19/C19</f>
        <v/>
      </c>
    </row>
    <row r="20">
      <c r="A20" s="8" t="inlineStr">
        <is>
          <t>Video Wall</t>
        </is>
      </c>
      <c r="B20" s="8" t="inlineStr">
        <is>
          <t>1 Screen</t>
        </is>
      </c>
      <c r="C20" s="9" t="n">
        <v>600</v>
      </c>
      <c r="D20" s="10" t="inlineStr">
        <is>
          <t>N</t>
        </is>
      </c>
      <c r="E20" s="11">
        <f>IF(D20="Y",Assumptions!$B$6,Assumptions!$B$7)</f>
        <v/>
      </c>
      <c r="F20" s="12">
        <f>E20*Assumptions!$B$5</f>
        <v/>
      </c>
      <c r="G20" s="12">
        <f>Assumptions!$B$8</f>
        <v/>
      </c>
      <c r="H20" s="12">
        <f>Assumptions!$B$9</f>
        <v/>
      </c>
      <c r="I20" s="12">
        <f>Assumptions!$B$10</f>
        <v/>
      </c>
      <c r="J20" s="13">
        <f>F20+G20+H20+I20</f>
        <v/>
      </c>
      <c r="K20" s="12">
        <f>F20+H20+I20</f>
        <v/>
      </c>
      <c r="L20" s="12">
        <f>C20-J20</f>
        <v/>
      </c>
      <c r="M20" s="14">
        <f>L20/C20</f>
        <v/>
      </c>
    </row>
    <row r="21">
      <c r="A21" s="8" t="inlineStr">
        <is>
          <t>Video Wall</t>
        </is>
      </c>
      <c r="B21" s="8" t="inlineStr">
        <is>
          <t>2 Screens</t>
        </is>
      </c>
      <c r="C21" s="9" t="n">
        <v>1000</v>
      </c>
      <c r="D21" s="10" t="inlineStr">
        <is>
          <t>N</t>
        </is>
      </c>
      <c r="E21" s="11">
        <f>IF(D21="Y",Assumptions!$B$6,Assumptions!$B$7)</f>
        <v/>
      </c>
      <c r="F21" s="12">
        <f>E21*Assumptions!$B$5</f>
        <v/>
      </c>
      <c r="G21" s="12">
        <f>Assumptions!$B$8</f>
        <v/>
      </c>
      <c r="H21" s="12">
        <f>Assumptions!$B$9</f>
        <v/>
      </c>
      <c r="I21" s="12">
        <f>Assumptions!$B$10</f>
        <v/>
      </c>
      <c r="J21" s="13">
        <f>F21+G21+H21+I21</f>
        <v/>
      </c>
      <c r="K21" s="12">
        <f>F21+H21+I21</f>
        <v/>
      </c>
      <c r="L21" s="12">
        <f>C21-J21</f>
        <v/>
      </c>
      <c r="M21" s="14">
        <f>L21/C21</f>
        <v/>
      </c>
    </row>
    <row r="23">
      <c r="A23" s="2" t="inlineStr">
        <is>
          <t>Attended-experience block: rows 5-15. Non-attended block: rows 16-21. Used by the Tier 2 tab's LARGE/SMALL formulas.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55" customWidth="1" min="1" max="1"/>
    <col width="16" customWidth="1" min="2" max="2"/>
    <col width="16" customWidth="1" min="3" max="3"/>
    <col width="12" customWidth="1" min="4" max="4"/>
  </cols>
  <sheetData>
    <row r="1">
      <c r="A1" s="1" t="inlineStr">
        <is>
          <t>Tier 1 — $199/mo, One Activation of Any Single Experience</t>
        </is>
      </c>
    </row>
    <row r="3">
      <c r="A3" s="15" t="inlineStr">
        <is>
          <t>Monthly Membership Price</t>
        </is>
      </c>
      <c r="B3" s="5" t="n">
        <v>199</v>
      </c>
      <c r="C3" s="2" t="inlineStr">
        <is>
          <t>Edit this to test other price points.</t>
        </is>
      </c>
    </row>
    <row r="5">
      <c r="A5" s="3" t="inlineStr">
        <is>
          <t>Scenario</t>
        </is>
      </c>
      <c r="B5" s="3" t="inlineStr">
        <is>
          <t>Activation Cost</t>
        </is>
      </c>
      <c r="C5" s="3" t="inlineStr">
        <is>
          <t>Margin $ (per activation, if used)</t>
        </is>
      </c>
      <c r="D5" s="3" t="inlineStr">
        <is>
          <t>Margin %</t>
        </is>
      </c>
    </row>
    <row r="6">
      <c r="A6" s="8" t="inlineStr">
        <is>
          <t>Best case — member picks cheapest eligible experience</t>
        </is>
      </c>
      <c r="B6" s="12">
        <f>MIN('Cost Per Experience'!J5:J21)</f>
        <v/>
      </c>
      <c r="C6" s="12">
        <f>$B$3-B6</f>
        <v/>
      </c>
      <c r="D6" s="14">
        <f>C6/$B$3</f>
        <v/>
      </c>
    </row>
    <row r="7">
      <c r="A7" s="8" t="inlineStr">
        <is>
          <t>Worst case — member picks most expensive eligible experience</t>
        </is>
      </c>
      <c r="B7" s="12">
        <f>MAX('Cost Per Experience'!J5:J21)</f>
        <v/>
      </c>
      <c r="C7" s="12">
        <f>$B$3-B7</f>
        <v/>
      </c>
      <c r="D7" s="14">
        <f>C7/$B$3</f>
        <v/>
      </c>
    </row>
    <row r="9">
      <c r="A9" s="15" t="inlineStr">
        <is>
          <t>Expected Monthly Margin (accounts for utilization — cost only hits in months the member activates)</t>
        </is>
      </c>
    </row>
    <row r="10">
      <c r="A10" s="3" t="inlineStr">
        <is>
          <t>Scenario</t>
        </is>
      </c>
      <c r="B10" s="3" t="inlineStr">
        <is>
          <t>Expected Monthly Margin</t>
        </is>
      </c>
    </row>
    <row r="11">
      <c r="A11" s="8" t="inlineStr">
        <is>
          <t>Best case, at assumed utilization</t>
        </is>
      </c>
      <c r="B11" s="12">
        <f>$B$3-(B6*Assumptions!$B$11)</f>
        <v/>
      </c>
    </row>
    <row r="12">
      <c r="A12" s="8" t="inlineStr">
        <is>
          <t>Worst case, at assumed utilization</t>
        </is>
      </c>
      <c r="B12" s="12">
        <f>$B$3-(B7*Assumptions!$B$11)</f>
        <v/>
      </c>
    </row>
    <row r="14">
      <c r="A14" s="2" t="inlineStr">
        <is>
          <t>Reality check: 'any experience' with no price ceiling means a member can request your $1,350 360 Video Black Tie booth every month for $199 — that scenario alone loses money on almost every activation. See Breakeven &amp; Sensitivity for the utilization rate needed to stay profitable.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60" customWidth="1" min="1" max="1"/>
    <col width="20" customWidth="1" min="2" max="2"/>
    <col width="16" customWidth="1" min="3" max="3"/>
    <col width="12" customWidth="1" min="4" max="4"/>
  </cols>
  <sheetData>
    <row r="1">
      <c r="A1" s="1" t="inlineStr">
        <is>
          <t>Tier 2 — $275/mo, One Event Combining Up To 3 Experiences (Same Date)</t>
        </is>
      </c>
    </row>
    <row r="3">
      <c r="A3" s="15" t="inlineStr">
        <is>
          <t>Monthly Membership Price</t>
        </is>
      </c>
      <c r="B3" s="5" t="n">
        <v>275</v>
      </c>
      <c r="C3" s="2" t="inlineStr">
        <is>
          <t>Edit this to test other price points.</t>
        </is>
      </c>
    </row>
    <row r="5">
      <c r="A5" s="3" t="inlineStr">
        <is>
          <t>Scenario</t>
        </is>
      </c>
      <c r="B5" s="3" t="inlineStr">
        <is>
          <t>Combined Activation Cost (3 experiences, 1 shared travel fee)</t>
        </is>
      </c>
      <c r="C5" s="3" t="inlineStr">
        <is>
          <t>Margin $ (per event, if used)</t>
        </is>
      </c>
      <c r="D5" s="3" t="inlineStr">
        <is>
          <t>Margin %</t>
        </is>
      </c>
    </row>
    <row r="6">
      <c r="A6" s="16" t="inlineStr">
        <is>
          <t>Worst case — 3 most expensive attended experiences combined (e.g. full premium build-out)</t>
        </is>
      </c>
      <c r="B6" s="12">
        <f>LARGE('Cost Per Experience'!K5:K15,1)+LARGE('Cost Per Experience'!K5:K15,2)+LARGE('Cost Per Experience'!K5:K15,3)+Assumptions!$B$8</f>
        <v/>
      </c>
      <c r="C6" s="12">
        <f>$B$3-B6</f>
        <v/>
      </c>
      <c r="D6" s="14">
        <f>C6/$B$3</f>
        <v/>
      </c>
    </row>
    <row r="7">
      <c r="A7" s="16" t="inlineStr">
        <is>
          <t>Floor case — 3 cheapest non-attended experiences combined (Classic/Video Wall only)</t>
        </is>
      </c>
      <c r="B7" s="12">
        <f>SMALL('Cost Per Experience'!K16:K21,1)+SMALL('Cost Per Experience'!K16:K21,2)+SMALL('Cost Per Experience'!K16:K21,3)+Assumptions!$B$8</f>
        <v/>
      </c>
      <c r="C7" s="12">
        <f>$B$3-B7</f>
        <v/>
      </c>
      <c r="D7" s="14">
        <f>C7/$B$3</f>
        <v/>
      </c>
    </row>
    <row r="9">
      <c r="A9" s="15" t="inlineStr">
        <is>
          <t>Expected Monthly Margin (accounts for utilization)</t>
        </is>
      </c>
    </row>
    <row r="10">
      <c r="A10" s="3" t="inlineStr">
        <is>
          <t>Scenario</t>
        </is>
      </c>
      <c r="B10" s="3" t="inlineStr">
        <is>
          <t>Expected Monthly Margin</t>
        </is>
      </c>
    </row>
    <row r="11">
      <c r="A11" s="8" t="inlineStr">
        <is>
          <t>Worst case, at assumed utilization</t>
        </is>
      </c>
      <c r="B11" s="12">
        <f>$B$3-(B6*Assumptions!$B$11)</f>
        <v/>
      </c>
    </row>
    <row r="12">
      <c r="A12" s="8" t="inlineStr">
        <is>
          <t>Floor case, at assumed utilization</t>
        </is>
      </c>
      <c r="B12" s="12">
        <f>$B$3-(B7*Assumptions!$B$11)</f>
        <v/>
      </c>
    </row>
    <row r="14">
      <c r="A14" s="2" t="inlineStr">
        <is>
          <t>Reality check: combining 3 attended experiences (e.g. Mirror Booth + 360 Video + British Phone Booth) at one event realistically costs several hundred dollars in labor alone — well above $275. This tier only works if (a) it's restricted to lighter/non-attended combos, (b) it's priced much higher to match your existing $2,000+ full-build-out corporate rate, or (c) utilization is low enough that the fixed monthly fee outruns the occasional activation cost. See Breakeven &amp; Sensitivity.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4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Monthly Margin Per Member, By Utilization Rate</t>
        </is>
      </c>
    </row>
    <row r="2">
      <c r="A2" s="2" t="inlineStr">
        <is>
          <t>Utilization = % of paying members who actually activate their membership in a given month. Revenue is collected every month regardless; cost only hits in months they use it.</t>
        </is>
      </c>
    </row>
    <row r="4">
      <c r="A4" s="17" t="inlineStr">
        <is>
          <t>Scenario</t>
        </is>
      </c>
      <c r="B4" s="18" t="n">
        <v>0.2</v>
      </c>
      <c r="C4" s="18" t="n">
        <v>0.3</v>
      </c>
      <c r="D4" s="18" t="n">
        <v>0.4</v>
      </c>
      <c r="E4" s="18" t="n">
        <v>0.5</v>
      </c>
      <c r="F4" s="18" t="n">
        <v>0.6</v>
      </c>
      <c r="G4" s="18" t="n">
        <v>0.7</v>
      </c>
      <c r="H4" s="18" t="n">
        <v>0.8</v>
      </c>
      <c r="I4" s="18" t="n">
        <v>0.9</v>
      </c>
      <c r="J4" s="18" t="n">
        <v>1</v>
      </c>
    </row>
    <row r="5">
      <c r="A5" s="8" t="inlineStr">
        <is>
          <t>Tier 1 — Worst Case (priciest experience)</t>
        </is>
      </c>
      <c r="B5" s="12">
        <f>'Tier 1 Profitability'!$B$3-('Tier 1 Profitability'!$B$7*B$4)</f>
        <v/>
      </c>
      <c r="C5" s="12">
        <f>'Tier 1 Profitability'!$B$3-('Tier 1 Profitability'!$B$7*C$4)</f>
        <v/>
      </c>
      <c r="D5" s="12">
        <f>'Tier 1 Profitability'!$B$3-('Tier 1 Profitability'!$B$7*D$4)</f>
        <v/>
      </c>
      <c r="E5" s="12">
        <f>'Tier 1 Profitability'!$B$3-('Tier 1 Profitability'!$B$7*E$4)</f>
        <v/>
      </c>
      <c r="F5" s="12">
        <f>'Tier 1 Profitability'!$B$3-('Tier 1 Profitability'!$B$7*F$4)</f>
        <v/>
      </c>
      <c r="G5" s="12">
        <f>'Tier 1 Profitability'!$B$3-('Tier 1 Profitability'!$B$7*G$4)</f>
        <v/>
      </c>
      <c r="H5" s="12">
        <f>'Tier 1 Profitability'!$B$3-('Tier 1 Profitability'!$B$7*H$4)</f>
        <v/>
      </c>
      <c r="I5" s="12">
        <f>'Tier 1 Profitability'!$B$3-('Tier 1 Profitability'!$B$7*I$4)</f>
        <v/>
      </c>
      <c r="J5" s="12">
        <f>'Tier 1 Profitability'!$B$3-('Tier 1 Profitability'!$B$7*J$4)</f>
        <v/>
      </c>
    </row>
    <row r="6">
      <c r="A6" s="8" t="inlineStr">
        <is>
          <t>Tier 1 — Best Case (cheapest experience)</t>
        </is>
      </c>
      <c r="B6" s="12">
        <f>'Tier 1 Profitability'!$B$3-('Tier 1 Profitability'!$B$6*B$4)</f>
        <v/>
      </c>
      <c r="C6" s="12">
        <f>'Tier 1 Profitability'!$B$3-('Tier 1 Profitability'!$B$6*C$4)</f>
        <v/>
      </c>
      <c r="D6" s="12">
        <f>'Tier 1 Profitability'!$B$3-('Tier 1 Profitability'!$B$6*D$4)</f>
        <v/>
      </c>
      <c r="E6" s="12">
        <f>'Tier 1 Profitability'!$B$3-('Tier 1 Profitability'!$B$6*E$4)</f>
        <v/>
      </c>
      <c r="F6" s="12">
        <f>'Tier 1 Profitability'!$B$3-('Tier 1 Profitability'!$B$6*F$4)</f>
        <v/>
      </c>
      <c r="G6" s="12">
        <f>'Tier 1 Profitability'!$B$3-('Tier 1 Profitability'!$B$6*G$4)</f>
        <v/>
      </c>
      <c r="H6" s="12">
        <f>'Tier 1 Profitability'!$B$3-('Tier 1 Profitability'!$B$6*H$4)</f>
        <v/>
      </c>
      <c r="I6" s="12">
        <f>'Tier 1 Profitability'!$B$3-('Tier 1 Profitability'!$B$6*I$4)</f>
        <v/>
      </c>
      <c r="J6" s="12">
        <f>'Tier 1 Profitability'!$B$3-('Tier 1 Profitability'!$B$6*J$4)</f>
        <v/>
      </c>
    </row>
    <row r="7">
      <c r="A7" s="8" t="inlineStr">
        <is>
          <t>Tier 2 — Worst Case (3 attended combined)</t>
        </is>
      </c>
      <c r="B7" s="12">
        <f>'Tier 2 Profitability'!$B$3-('Tier 2 Profitability'!$B$6*B$4)</f>
        <v/>
      </c>
      <c r="C7" s="12">
        <f>'Tier 2 Profitability'!$B$3-('Tier 2 Profitability'!$B$6*C$4)</f>
        <v/>
      </c>
      <c r="D7" s="12">
        <f>'Tier 2 Profitability'!$B$3-('Tier 2 Profitability'!$B$6*D$4)</f>
        <v/>
      </c>
      <c r="E7" s="12">
        <f>'Tier 2 Profitability'!$B$3-('Tier 2 Profitability'!$B$6*E$4)</f>
        <v/>
      </c>
      <c r="F7" s="12">
        <f>'Tier 2 Profitability'!$B$3-('Tier 2 Profitability'!$B$6*F$4)</f>
        <v/>
      </c>
      <c r="G7" s="12">
        <f>'Tier 2 Profitability'!$B$3-('Tier 2 Profitability'!$B$6*G$4)</f>
        <v/>
      </c>
      <c r="H7" s="12">
        <f>'Tier 2 Profitability'!$B$3-('Tier 2 Profitability'!$B$6*H$4)</f>
        <v/>
      </c>
      <c r="I7" s="12">
        <f>'Tier 2 Profitability'!$B$3-('Tier 2 Profitability'!$B$6*I$4)</f>
        <v/>
      </c>
      <c r="J7" s="12">
        <f>'Tier 2 Profitability'!$B$3-('Tier 2 Profitability'!$B$6*J$4)</f>
        <v/>
      </c>
    </row>
    <row r="8">
      <c r="A8" s="8" t="inlineStr">
        <is>
          <t>Tier 2 — Floor Case (3 non-attended combined)</t>
        </is>
      </c>
      <c r="B8" s="12">
        <f>'Tier 2 Profitability'!$B$3-('Tier 2 Profitability'!$B$7*B$4)</f>
        <v/>
      </c>
      <c r="C8" s="12">
        <f>'Tier 2 Profitability'!$B$3-('Tier 2 Profitability'!$B$7*C$4)</f>
        <v/>
      </c>
      <c r="D8" s="12">
        <f>'Tier 2 Profitability'!$B$3-('Tier 2 Profitability'!$B$7*D$4)</f>
        <v/>
      </c>
      <c r="E8" s="12">
        <f>'Tier 2 Profitability'!$B$3-('Tier 2 Profitability'!$B$7*E$4)</f>
        <v/>
      </c>
      <c r="F8" s="12">
        <f>'Tier 2 Profitability'!$B$3-('Tier 2 Profitability'!$B$7*F$4)</f>
        <v/>
      </c>
      <c r="G8" s="12">
        <f>'Tier 2 Profitability'!$B$3-('Tier 2 Profitability'!$B$7*G$4)</f>
        <v/>
      </c>
      <c r="H8" s="12">
        <f>'Tier 2 Profitability'!$B$3-('Tier 2 Profitability'!$B$7*H$4)</f>
        <v/>
      </c>
      <c r="I8" s="12">
        <f>'Tier 2 Profitability'!$B$3-('Tier 2 Profitability'!$B$7*I$4)</f>
        <v/>
      </c>
      <c r="J8" s="12">
        <f>'Tier 2 Profitability'!$B$3-('Tier 2 Profitability'!$B$7*J$4)</f>
        <v/>
      </c>
    </row>
    <row r="10">
      <c r="A10" s="15" t="inlineStr">
        <is>
          <t>Breakeven Utilization Rate (margin = $0)</t>
        </is>
      </c>
    </row>
    <row r="11">
      <c r="A11" s="8" t="inlineStr">
        <is>
          <t>Tier 1 — Worst Case</t>
        </is>
      </c>
      <c r="B11" s="14">
        <f>'Tier 1 Profitability'!$B$3/'Tier 1 Profitability'!$B$7</f>
        <v/>
      </c>
    </row>
    <row r="12">
      <c r="A12" s="8" t="inlineStr">
        <is>
          <t>Tier 1 — Best Case</t>
        </is>
      </c>
      <c r="B12" s="14">
        <f>'Tier 1 Profitability'!$B$3/'Tier 1 Profitability'!$B$6</f>
        <v/>
      </c>
    </row>
    <row r="13">
      <c r="A13" s="8" t="inlineStr">
        <is>
          <t>Tier 2 — Worst Case</t>
        </is>
      </c>
      <c r="B13" s="14">
        <f>'Tier 2 Profitability'!$B$3/'Tier 2 Profitability'!$B$6</f>
        <v/>
      </c>
    </row>
    <row r="14">
      <c r="A14" s="8" t="inlineStr">
        <is>
          <t>Tier 2 — Floor Case</t>
        </is>
      </c>
      <c r="B14" s="14">
        <f>'Tier 2 Profitability'!$B$3/'Tier 2 Profitability'!$B$7</f>
        <v/>
      </c>
    </row>
    <row r="16">
      <c r="A16" s="2" t="inlineStr">
        <is>
          <t>A breakeven rate above 100% means that scenario never breaks even, no matter how rarely the member activates the benefit — the per-use cost simply exceeds the monthly fee. A breakeven rate below your assumed utilization (Assumptions tab, default 70%) means you're losing money on the average member in that scenario today.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34" customWidth="1" min="1" max="1"/>
    <col width="16" customWidth="1" min="2" max="2"/>
    <col width="22" customWidth="1" min="3" max="3"/>
  </cols>
  <sheetData>
    <row r="1">
      <c r="A1" s="1" t="inlineStr">
        <is>
          <t>Membership Revenue vs. Your Existing One-Off Corporate Pricing</t>
        </is>
      </c>
    </row>
    <row r="2">
      <c r="A2" s="2" t="inlineStr">
        <is>
          <t>Source: BTB_EmailTemplates_ReactivationAndCorporate.pdf, 'Corporate Holiday Pitch' section (Revenue Potential).</t>
        </is>
      </c>
    </row>
    <row r="4">
      <c r="A4" s="3" t="inlineStr">
        <is>
          <t>One-Off Corporate Booking Type</t>
        </is>
      </c>
      <c r="B4" s="3" t="inlineStr">
        <is>
          <t>Low</t>
        </is>
      </c>
      <c r="C4" s="3" t="inlineStr">
        <is>
          <t>High</t>
        </is>
      </c>
    </row>
    <row r="5">
      <c r="A5" s="8" t="inlineStr">
        <is>
          <t>Base booking</t>
        </is>
      </c>
      <c r="B5" s="9" t="n">
        <v>800</v>
      </c>
      <c r="C5" s="9" t="n">
        <v>1350</v>
      </c>
    </row>
    <row r="6">
      <c r="A6" s="8" t="inlineStr">
        <is>
          <t>With Video Wall add-on</t>
        </is>
      </c>
      <c r="B6" s="9" t="n">
        <v>1400</v>
      </c>
      <c r="C6" s="9" t="n">
        <v>2350</v>
      </c>
    </row>
    <row r="7">
      <c r="A7" s="8" t="inlineStr">
        <is>
          <t>Full corporate build-out</t>
        </is>
      </c>
      <c r="B7" s="9" t="n">
        <v>2000</v>
      </c>
      <c r="C7" s="9" t="inlineStr">
        <is>
          <t>2,000+ (open-ended)</t>
        </is>
      </c>
    </row>
    <row r="9">
      <c r="A9" s="3" t="inlineStr">
        <is>
          <t>12-Month Membership Revenue</t>
        </is>
      </c>
      <c r="B9" s="3" t="inlineStr">
        <is>
          <t>Amount</t>
        </is>
      </c>
    </row>
    <row r="10">
      <c r="A10" s="8" t="inlineStr">
        <is>
          <t>Tier 1 ($199/mo x 12)</t>
        </is>
      </c>
      <c r="B10" s="12">
        <f>'Tier 1 Profitability'!$B$3*12</f>
        <v/>
      </c>
    </row>
    <row r="11">
      <c r="A11" s="8" t="inlineStr">
        <is>
          <t>Tier 2 ($275/mo x 12)</t>
        </is>
      </c>
      <c r="B11" s="12">
        <f>'Tier 2 Profitability'!$B$3*12</f>
        <v/>
      </c>
    </row>
    <row r="13" ht="90" customHeight="1">
      <c r="A13" s="2" t="inlineStr">
        <is>
          <t>Cannibalization risk: a full year of Tier 2 membership ($3,300) roughly equals just ONE full corporate build-out ($2,000+) plus a base booking. If a corporate client would otherwise have booked 2-3 one-off premium events a year at $1,500-$2,350 each, converting them to a $275/mo membership can significantly cut your revenue per client — unless the membership successfully drives MORE total activations (e.g. monthly team events) than they'd ever have booked a la carte. Model this against your actual corporate client repeat-booking rate before rolling this out broadly.</t>
        </is>
      </c>
    </row>
    <row r="14"/>
    <row r="15"/>
    <row r="16"/>
    <row r="17"/>
  </sheetData>
  <mergeCells count="1">
    <mergeCell ref="A13:C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55" customWidth="1" min="1" max="1"/>
    <col width="16" customWidth="1" min="2" max="2"/>
    <col width="20" customWidth="1" min="3" max="3"/>
    <col width="15" customWidth="1" min="4" max="4"/>
    <col width="13" customWidth="1" min="5" max="5"/>
    <col width="18" customWidth="1" min="6" max="6"/>
  </cols>
  <sheetData>
    <row r="1">
      <c r="A1" s="1" t="inlineStr">
        <is>
          <t>Recommended — Tier 1: $199/mo Billed Monthly, Capped at 1 Activation Per Quarter</t>
        </is>
      </c>
    </row>
    <row r="2">
      <c r="A2" s="2" t="inlineStr">
        <is>
          <t>Same $199/mo price the member sees. The only change: usage is capped to 4 activations/year (quarterly) instead of unlimited monthly, with an annual commitment.</t>
        </is>
      </c>
    </row>
    <row r="4">
      <c r="A4" s="15" t="inlineStr">
        <is>
          <t>Monthly Price (as marketed)</t>
        </is>
      </c>
      <c r="B4" s="20">
        <f>'Tier 1 Profitability'!$B$3</f>
        <v/>
      </c>
    </row>
    <row r="5">
      <c r="A5" s="15" t="inlineStr">
        <is>
          <t>Annual Revenue (12 months, required commitment)</t>
        </is>
      </c>
      <c r="B5" s="12">
        <f>B4*12</f>
        <v/>
      </c>
    </row>
    <row r="6">
      <c r="A6" s="15" t="inlineStr">
        <is>
          <t>Annual Activation Cap</t>
        </is>
      </c>
      <c r="B6" s="21">
        <f>Assumptions!$B$15</f>
        <v/>
      </c>
    </row>
    <row r="8">
      <c r="A8" s="3" t="inlineStr">
        <is>
          <t>Scenario</t>
        </is>
      </c>
      <c r="B8" s="3" t="inlineStr">
        <is>
          <t>Cost Per Activation</t>
        </is>
      </c>
      <c r="C8" s="3" t="inlineStr">
        <is>
          <t>Total Annual Cost (cap x cost)</t>
        </is>
      </c>
      <c r="D8" s="3" t="inlineStr">
        <is>
          <t>Annual Margin $</t>
        </is>
      </c>
      <c r="E8" s="3" t="inlineStr">
        <is>
          <t>Annual Margin %</t>
        </is>
      </c>
      <c r="F8" s="3" t="inlineStr">
        <is>
          <t>Monthly-Equivalent Margin</t>
        </is>
      </c>
    </row>
    <row r="9">
      <c r="A9" s="16" t="inlineStr">
        <is>
          <t>Best case — member always picks cheapest eligible experience</t>
        </is>
      </c>
      <c r="B9" s="12">
        <f>MIN('Cost Per Experience'!J5:J21)</f>
        <v/>
      </c>
      <c r="C9" s="12">
        <f>B9*$B$6</f>
        <v/>
      </c>
      <c r="D9" s="13">
        <f>$B$5-C9</f>
        <v/>
      </c>
      <c r="E9" s="14">
        <f>D9/$B$5</f>
        <v/>
      </c>
      <c r="F9" s="12">
        <f>D9/12</f>
        <v/>
      </c>
    </row>
    <row r="10">
      <c r="A10" s="16" t="inlineStr">
        <is>
          <t>Worst case — member always picks most expensive eligible experience</t>
        </is>
      </c>
      <c r="B10" s="12">
        <f>MAX('Cost Per Experience'!J5:J21)</f>
        <v/>
      </c>
      <c r="C10" s="12">
        <f>B10*$B$6</f>
        <v/>
      </c>
      <c r="D10" s="13">
        <f>$B$5-C10</f>
        <v/>
      </c>
      <c r="E10" s="14">
        <f>D10/$B$5</f>
        <v/>
      </c>
      <c r="F10" s="12">
        <f>D10/12</f>
        <v/>
      </c>
    </row>
    <row r="12">
      <c r="A12" s="2" t="inlineStr">
        <is>
          <t>Compare to the original uncapped-monthly worst case, which lost $46 on a single activation with no annual floor. Capping to 4/year turns the same worst-case experience selection into a comfortably profitable annual contract.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55" customWidth="1" min="1" max="1"/>
    <col width="16" customWidth="1" min="2" max="2"/>
    <col width="20" customWidth="1" min="3" max="3"/>
    <col width="15" customWidth="1" min="4" max="4"/>
    <col width="13" customWidth="1" min="5" max="5"/>
    <col width="18" customWidth="1" min="6" max="6"/>
  </cols>
  <sheetData>
    <row r="1">
      <c r="A1" s="1" t="inlineStr">
        <is>
          <t>Recommended — Tier 2: $275/mo Billed Monthly, Capped at 1 Multi-Experience Build-Out Per Year</t>
        </is>
      </c>
    </row>
    <row r="2">
      <c r="A2" s="2" t="inlineStr">
        <is>
          <t>Same $275/mo price the member sees. Includes ONE combined build-out (up to 3 experiences, same date) per year. Additional build-outs billed a la carte at the member discount rate below.</t>
        </is>
      </c>
    </row>
    <row r="4">
      <c r="A4" s="15" t="inlineStr">
        <is>
          <t>Monthly Price (as marketed)</t>
        </is>
      </c>
      <c r="B4" s="20">
        <f>'Tier 2 Profitability'!$B$3</f>
        <v/>
      </c>
    </row>
    <row r="5">
      <c r="A5" s="15" t="inlineStr">
        <is>
          <t>Annual Revenue (12 months, required commitment)</t>
        </is>
      </c>
      <c r="B5" s="12">
        <f>B4*12</f>
        <v/>
      </c>
    </row>
    <row r="6">
      <c r="A6" s="15" t="inlineStr">
        <is>
          <t>Annual Build-Out Cap (included)</t>
        </is>
      </c>
      <c r="B6" s="21">
        <f>Assumptions!$B$16</f>
        <v/>
      </c>
    </row>
    <row r="8">
      <c r="A8" s="3" t="inlineStr">
        <is>
          <t>Scenario</t>
        </is>
      </c>
      <c r="B8" s="3" t="inlineStr">
        <is>
          <t>Cost Per Build-Out</t>
        </is>
      </c>
      <c r="C8" s="3" t="inlineStr">
        <is>
          <t>Total Annual Cost (cap x cost)</t>
        </is>
      </c>
      <c r="D8" s="3" t="inlineStr">
        <is>
          <t>Annual Margin $</t>
        </is>
      </c>
      <c r="E8" s="3" t="inlineStr">
        <is>
          <t>Annual Margin %</t>
        </is>
      </c>
      <c r="F8" s="3" t="inlineStr">
        <is>
          <t>Monthly-Equivalent Margin</t>
        </is>
      </c>
    </row>
    <row r="9">
      <c r="A9" s="16" t="inlineStr">
        <is>
          <t>Worst case — 3 most expensive attended experiences combined</t>
        </is>
      </c>
      <c r="B9" s="12">
        <f>LARGE('Cost Per Experience'!K5:K15,1)+LARGE('Cost Per Experience'!K5:K15,2)+LARGE('Cost Per Experience'!K5:K15,3)+Assumptions!$B$8</f>
        <v/>
      </c>
      <c r="C9" s="12">
        <f>B9*$B$6</f>
        <v/>
      </c>
      <c r="D9" s="13">
        <f>$B$5-C9</f>
        <v/>
      </c>
      <c r="E9" s="14">
        <f>D9/$B$5</f>
        <v/>
      </c>
      <c r="F9" s="12">
        <f>D9/12</f>
        <v/>
      </c>
    </row>
    <row r="10">
      <c r="A10" s="16" t="inlineStr">
        <is>
          <t>Floor case — 3 cheapest non-attended experiences combined</t>
        </is>
      </c>
      <c r="B10" s="12">
        <f>SMALL('Cost Per Experience'!K16:K21,1)+SMALL('Cost Per Experience'!K16:K21,2)+SMALL('Cost Per Experience'!K16:K21,3)+Assumptions!$B$8</f>
        <v/>
      </c>
      <c r="C10" s="12">
        <f>B10*$B$6</f>
        <v/>
      </c>
      <c r="D10" s="13">
        <f>$B$5-C10</f>
        <v/>
      </c>
      <c r="E10" s="14">
        <f>D10/$B$5</f>
        <v/>
      </c>
      <c r="F10" s="12">
        <f>D10/12</f>
        <v/>
      </c>
    </row>
    <row r="12">
      <c r="A12" s="15" t="inlineStr">
        <is>
          <t>Additional build-outs beyond the included 1/year — suggested member rate</t>
        </is>
      </c>
    </row>
    <row r="13">
      <c r="A13" s="4" t="inlineStr">
        <is>
          <t>Member discount vs. standard a la carte full build-out ($2,000+)</t>
        </is>
      </c>
      <c r="B13" s="7" t="n">
        <v>0.15</v>
      </c>
      <c r="C13" s="2" t="inlineStr">
        <is>
          <t>Editable. Extra build-outs still carry real margin since they're priced off your existing $2,000+ one-off rate, not the subscription rate.</t>
        </is>
      </c>
    </row>
    <row r="14">
      <c r="A14" s="4" t="inlineStr">
        <is>
          <t>Suggested price for each additional build-out</t>
        </is>
      </c>
      <c r="B14" s="12">
        <f>2000*(1-B13)</f>
        <v/>
      </c>
    </row>
    <row r="16">
      <c r="A16" s="2" t="inlineStr">
        <is>
          <t>Compare to the original uncapped-monthly worst case, which lost $380 on a single combined event with no annual floor. Capping the included build-out to 1/year turns even the worst-case experience mix into a profitable annual contract, while extra build-outs stay priced near your existing high-margin one-off corporate rate.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0" customWidth="1" min="1" max="1"/>
    <col width="28" customWidth="1" min="2" max="2"/>
    <col width="28" customWidth="1" min="3" max="3"/>
    <col width="28" customWidth="1" min="4" max="4"/>
  </cols>
  <sheetData>
    <row r="1">
      <c r="A1" s="1" t="inlineStr">
        <is>
          <t>Original (Uncapped Monthly) vs. Recommended (Annual-Capped) Structure</t>
        </is>
      </c>
    </row>
    <row r="2">
      <c r="A2" s="2" t="inlineStr">
        <is>
          <t>Same headline prices members see ($199/mo, $275/mo). Only the usage cap changes. Worst-case experience selection used throughout for an apples-to-apples, conservative comparison.</t>
        </is>
      </c>
    </row>
    <row r="4">
      <c r="A4" s="3" t="inlineStr"/>
      <c r="B4" s="3" t="inlineStr">
        <is>
          <t>Original — Worst Case Monthly Margin</t>
        </is>
      </c>
      <c r="C4" s="3" t="inlineStr">
        <is>
          <t>Recommended — Worst Case Monthly-Equivalent Margin</t>
        </is>
      </c>
      <c r="D4" s="3" t="inlineStr">
        <is>
          <t>Improvement</t>
        </is>
      </c>
    </row>
    <row r="5">
      <c r="A5" s="22" t="inlineStr">
        <is>
          <t>Tier 1 ($199/mo)</t>
        </is>
      </c>
      <c r="B5" s="12">
        <f>'Tier 1 Profitability'!$B$3-'Tier 1 Profitability'!$B$7</f>
        <v/>
      </c>
      <c r="C5" s="12">
        <f>'Recommended Tier 1 (Annual)'!F10</f>
        <v/>
      </c>
      <c r="D5" s="13">
        <f>C5-B5</f>
        <v/>
      </c>
    </row>
    <row r="6">
      <c r="A6" s="22" t="inlineStr">
        <is>
          <t>Tier 2 ($275/mo)</t>
        </is>
      </c>
      <c r="B6" s="12">
        <f>'Tier 2 Profitability'!$B$3-'Tier 2 Profitability'!$B$6</f>
        <v/>
      </c>
      <c r="C6" s="12">
        <f>'Recommended Tier 2 (Annual)'!F10</f>
        <v/>
      </c>
      <c r="D6" s="13">
        <f>C6-B6</f>
        <v/>
      </c>
    </row>
    <row r="9" ht="90" customHeight="1">
      <c r="A9" s="2" t="inlineStr">
        <is>
          <t>Bottom line: the price points you proposed ($199 / $275) work fine as marketing numbers. The failure mode in the original design was letting 'monthly' mean 'as often as they want, every month' with no ceiling on which experience they pick. Capping Tier 1 to quarterly use and Tier 2 to one annual build-out (with paid add-ons beyond that) fixes the margin at both tiers without changing the price a prospect sees.</t>
        </is>
      </c>
    </row>
    <row r="10"/>
    <row r="11"/>
    <row r="12"/>
    <row r="13"/>
  </sheetData>
  <mergeCells count="1">
    <mergeCell ref="A9: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2026-07-11T03:26:20Z</dcterms:created>
  <dcterms:modified xsi:type="dcterms:W3CDTF">2026-07-11T03:37:43Z</dcterms:modified>
</cp:coreProperties>
</file>